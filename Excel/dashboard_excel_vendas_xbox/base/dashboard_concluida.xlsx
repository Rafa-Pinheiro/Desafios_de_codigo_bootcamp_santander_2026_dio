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fae\Documents\Projetos\Santander Ciência de Dados\desafios_de_codigo\Excel\dashboard_excel_vendas_xbox\base\"/>
    </mc:Choice>
  </mc:AlternateContent>
  <xr:revisionPtr revIDLastSave="0" documentId="8_{92776B63-E802-4415-910F-AA47D9B67104}" xr6:coauthVersionLast="47" xr6:coauthVersionMax="47" xr10:uidLastSave="{00000000-0000-0000-0000-000000000000}"/>
  <bookViews>
    <workbookView xWindow="-120" yWindow="-120" windowWidth="24240" windowHeight="131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3" l="1"/>
  <c r="E20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<sst xmlns="http://schemas.openxmlformats.org/spreadsheetml/2006/main" count="2023" uniqueCount="325">
  <si>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</si>
  <si>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</si>
  <si>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</si>
  <si>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</si>
  <si>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</si>
  <si>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</si>
  <si>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</si>
  <si>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</si>
  <si>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</si>
  <si>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</si>
  <si>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</si>
  <si>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</si>
  <si>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</si>
  <si>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</si>
  <si>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</si>
  <si>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</si>
  <si>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</si>
  <si>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</si>
  <si>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</si>
  <si>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</si>
  <si>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</si>
  <si>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</si>
  <si>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</si>
  <si>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</si>
  <si>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</si>
  <si>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</si>
  <si>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</si>
  <si>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</si>
  <si>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</si>
  <si>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</si>
  <si>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</si>
  <si>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</si>
  <si>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</si>
  <si>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</si>
  <si>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</si>
  <si>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</si>
  <si>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</si>
  <si>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</si>
  <si>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</si>
  <si>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</si>
  <si>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</si>
  <si>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</si>
  <si>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</si>
  <si>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</si>
  <si>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</si>
  <si>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</si>
  <si>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</si>
  <si>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</si>
  <si>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</si>
  <si>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</si>
  <si>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</si>
  <si>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</si>
  <si>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</si>
  <si>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</si>
  <si>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</si>
  <si>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</si>
  <si>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</si>
  <si>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</si>
  <si>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</si>
  <si>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</si>
  <si>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</si>
  <si>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</si>
  <si>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</si>
  <si>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</si>
  <si>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</si>
  <si>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</si>
  <si>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</si>
  <si>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</si>
  <si>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</si>
  <si>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</si>
  <si>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</si>
  <si>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</si>
  <si>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</si>
  <si>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</si>
  <si>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</si>
  <si>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</si>
  <si>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</si>
  <si>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</si>
  <si>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</si>
  <si>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</si>
  <si>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</si>
  <si>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</si>
  <si>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</si>
  <si>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</si>
  <si>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</si>
  <si>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</si>
  <si>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</si>
  <si>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</si>
  <si>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</si>
  <si>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</si>
  <si>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</si>
  <si>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</si>
  <si>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</si>
  <si>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</si>
  <si>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</si>
  <si>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</si>
  <si>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</si>
  <si>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</si>
  <si>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</si>
  <si>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</si>
  <si>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</si>
  <si>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</si>
  <si>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</si>
  <si>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</si>
  <si>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</si>
  <si>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</si>
  <si>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</si>
  <si>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</si>
  <si>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</si>
  <si>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</si>
  <si>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</si>
  <si>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</si>
  <si>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</si>
  <si>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</si>
  <si>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</si>
  <si>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</si>
  <si>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</si>
  <si>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</si>
  <si>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</si>
  <si>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</si>
  <si>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</si>
  <si>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</si>
  <si>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</si>
  <si>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</si>
  <si>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</si>
  <si>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</si>
  <si>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</si>
  <si>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</si>
  <si>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</si>
  <si>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</si>
  <si>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</si>
  <si>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</si>
  <si>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</si>
  <si>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</si>
  <si>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</si>
  <si>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</si>
  <si>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</si>
  <si>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</si>
  <si>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</si>
  <si>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</si>
  <si>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</si>
  <si>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</si>
  <si>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</si>
  <si>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</si>
  <si>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</si>
  <si>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</si>
  <si>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</si>
  <si>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</si>
  <si>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</si>
  <si>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</si>
  <si>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</si>
  <si>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</si>
  <si>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</si>
  <si>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</si>
  <si>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</si>
  <si>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</si>
  <si>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</si>
  <si>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</si>
  <si>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</si>
  <si>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</si>
  <si>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</si>
  <si>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</si>
  <si>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</si>
  <si>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</si>
  <si>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</si>
  <si>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</si>
  <si>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</si>
  <si>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</si>
  <si>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</si>
  <si>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</si>
  <si>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</si>
  <si>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</si>
  <si>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</si>
  <si>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</si>
  <si>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</si>
  <si>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</si>
  <si>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</si>
  <si>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</si>
  <si>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</si>
  <si>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</si>
  <si>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</si>
  <si>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</si>
  <si>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</si>
  <si>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</si>
  <si>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</si>
  <si>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</si>
  <si>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</si>
  <si>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</si>
  <si>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</si>
  <si>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</si>
  <si>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</si>
  <si>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</si>
  <si>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</si>
  <si>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</si>
  <si>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</si>
  <si>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</si>
  <si>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</si>
  <si>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</si>
  <si>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</si>
  <si>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</si>
  <si>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</si>
  <si>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</si>
  <si>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</si>
  <si>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</si>
  <si>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</si>
  <si>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</si>
  <si>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</si>
  <si>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</si>
  <si>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</si>
  <si>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</si>
  <si>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</si>
  <si>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</si>
  <si>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</si>
  <si>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</si>
  <si>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</si>
  <si>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</si>
  <si>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</si>
  <si>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</si>
  <si>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</si>
  <si>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</si>
  <si>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</si>
  <si>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</si>
  <si>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</si>
  <si>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</si>
  <si>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</si>
  <si>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</si>
  <si>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</si>
  <si>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</si>
  <si>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</si>
  <si>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</si>
  <si>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</si>
  <si>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</si>
  <si>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</si>
  <si>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</si>
  <si>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</si>
  <si>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</si>
  <si>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</si>
  <si>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</si>
  <si>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</si>
  <si>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</si>
  <si>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</si>
  <si>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</si>
  <si>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</si>
  <si>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</si>
  <si>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</si>
  <si>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</si>
  <si>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</si>
  <si>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</si>
  <si>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</si>
  <si>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</si>
  <si>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</si>
  <si>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</si>
  <si>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</si>
  <si>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</si>
  <si>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</si>
  <si>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</si>
  <si>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</si>
  <si>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</si>
  <si>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</si>
  <si>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</si>
  <si>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</si>
  <si>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</si>
  <si>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</si>
  <si>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</si>
  <si>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</si>
  <si>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</si>
  <si>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</si>
  <si>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</si>
  <si>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</si>
  <si>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</si>
  <si>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</si>
  <si>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</si>
  <si>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</si>
  <si>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</si>
  <si>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</si>
  <si>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</si>
  <si>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</si>
  <si>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</si>
  <si>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</si>
  <si>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</si>
  <si>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</si>
  <si>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</si>
  <si>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</si>
  <si>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</si>
  <si>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</si>
  <si>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</si>
  <si>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</si>
  <si>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</si>
  <si>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</si>
  <si>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</si>
  <si>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</si>
  <si>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</si>
  <si>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</si>
  <si>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</si>
  <si>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</si>
  <si>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</si>
  <si>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</si>
  <si>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</si>
  <si>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</si>
  <si>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</si>
  <si>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</si>
  <si>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</si>
  <si>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</si>
  <si>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</si>
  <si>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</si>
  <si>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</si>
  <si>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</si>
  <si>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</si>
  <si>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</si>
  <si>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</si>
  <si>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</si>
  <si>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</si>
  <si>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</si>
  <si>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1: Qual faturamento Total de vendas de planos anuais (contendo todas as assinaturas agregadas)</t>
  </si>
  <si>
    <t>Soma de Total Value</t>
  </si>
  <si>
    <t>Rótulos de Linha</t>
  </si>
  <si>
    <t>Total Geral</t>
  </si>
  <si>
    <t>Pergunta de Negócio 2: Qual o faturamento total de vendas de planos anuais, separados por auto renovação não e por auto renovação</t>
  </si>
  <si>
    <t xml:space="preserve"> </t>
  </si>
  <si>
    <t>XBOX GAME PASS SUBSCRIPTION SALES</t>
  </si>
  <si>
    <t>Pergunta de negócio 3: Totoal de assinaturas do EA play</t>
  </si>
  <si>
    <t>Soma de EA Play Season Pass</t>
  </si>
  <si>
    <t>Pergunta 4: Total de Vendas de Assinaturas do Minecraft Season Pass</t>
  </si>
  <si>
    <t>Soma de Minecraft Season Pass Price</t>
  </si>
  <si>
    <t>Calculation Period: 01/01/2024 - 31/12/2024 Update Date: 21/01/2026 23:54:00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</si>
</sst>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1"/>
      <color theme="2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2" xfId="0" applyBorder="1"/>
    <xf numFmtId="0" fontId="4" fillId="0" borderId="2" xfId="0" applyFont="1" applyBorder="1" applyAlignment="1">
      <alignment horizontal="left" indent="4"/>
    </xf>
    <xf numFmtId="0" fontId="5" fillId="7" borderId="0" xfId="0" applyFont="1" applyFill="1" applyAlignment="1">
      <alignment vertical="top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4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95A47243-34A5-4511-8171-283A45B87FCB}">
      <tableStyleElement type="wholeTable" dxfId="1"/>
      <tableStyleElement type="headerRow" dxfId="0"/>
    </tableStyle>
  </tableStyles>
  <colors>
    <mruColors>
      <color rgb="FFE8E6E9"/>
      <color rgb="FFFFFFFF"/>
      <color rgb="FFEDEDED"/>
      <color rgb="FFE0E0E0"/>
      <color rgb="FF22C55E"/>
      <color rgb="FF000000"/>
      <color rgb="FF156082"/>
      <color rgb="FF5BF6A8"/>
      <color rgb="FF042433"/>
      <color rgb="FF2AE6B1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[dashboard_concluida.xlsx]C̳álculos!tbl_annual_total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837627741783954E-2"/>
          <c:y val="3.5262406447030929E-2"/>
          <c:w val="0.95133736140315484"/>
          <c:h val="0.944587647011808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B-43AA-A337-B1BD0DC9E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16858552"/>
        <c:axId val="116857112"/>
      </c:barChart>
      <c:catAx>
        <c:axId val="116858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857112"/>
        <c:crosses val="autoZero"/>
        <c:auto val="1"/>
        <c:lblAlgn val="ctr"/>
        <c:lblOffset val="100"/>
        <c:noMultiLvlLbl val="0"/>
      </c:catAx>
      <c:valAx>
        <c:axId val="116857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685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2</xdr:col>
      <xdr:colOff>404812</xdr:colOff>
      <xdr:row>2</xdr:row>
      <xdr:rowOff>326898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4BE6D6-8F44-4F44-A069-D0D83F992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r="71535"/>
        <a:stretch>
          <a:fillRect/>
        </a:stretch>
      </xdr:blipFill>
      <xdr:spPr>
        <a:xfrm>
          <a:off x="2362200" y="0"/>
          <a:ext cx="642937" cy="10126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2350292</xdr:colOff>
      <xdr:row>29</xdr:row>
      <xdr:rowOff>138113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15A76008-9222-41DB-9258-C0EC9CFB2A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76475"/>
              <a:ext cx="2350292" cy="3948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0</xdr:colOff>
      <xdr:row>6</xdr:row>
      <xdr:rowOff>104776</xdr:rowOff>
    </xdr:from>
    <xdr:to>
      <xdr:col>5</xdr:col>
      <xdr:colOff>0</xdr:colOff>
      <xdr:row>13</xdr:row>
      <xdr:rowOff>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86CDC5A-F2A4-720D-C1FC-F39431C4A0F0}"/>
            </a:ext>
          </a:extLst>
        </xdr:cNvPr>
        <xdr:cNvGrpSpPr/>
      </xdr:nvGrpSpPr>
      <xdr:grpSpPr>
        <a:xfrm>
          <a:off x="2600325" y="1704976"/>
          <a:ext cx="5048250" cy="1333500"/>
          <a:chOff x="2600325" y="1381125"/>
          <a:chExt cx="5048250" cy="162877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BA81E8F-E6C2-54A2-901D-96924418D4AC}"/>
              </a:ext>
            </a:extLst>
          </xdr:cNvPr>
          <xdr:cNvSpPr/>
        </xdr:nvSpPr>
        <xdr:spPr>
          <a:xfrm>
            <a:off x="2600325" y="1381125"/>
            <a:ext cx="5048250" cy="1628775"/>
          </a:xfrm>
          <a:prstGeom prst="roundRect">
            <a:avLst>
              <a:gd name="adj" fmla="val 5556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0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9E2F3375-D373-3E04-F7CF-FFFA6E7C1EEF}"/>
              </a:ext>
            </a:extLst>
          </xdr:cNvPr>
          <xdr:cNvSpPr/>
        </xdr:nvSpPr>
        <xdr:spPr>
          <a:xfrm>
            <a:off x="3209924" y="1971675"/>
            <a:ext cx="3829051" cy="800100"/>
          </a:xfrm>
          <a:prstGeom prst="roundRect">
            <a:avLst/>
          </a:prstGeom>
          <a:solidFill>
            <a:srgbClr val="FFFFFF">
              <a:alpha val="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C86EC1-0DEF-434B-81CE-6B74DF54B8A9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en-US" sz="3600" b="0">
              <a:solidFill>
                <a:srgbClr val="22C55E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58C5CD82-03B8-4B88-91D1-52664E945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86075" y="1762125"/>
            <a:ext cx="1219200" cy="1219200"/>
          </a:xfrm>
          <a:prstGeom prst="rect">
            <a:avLst/>
          </a:prstGeom>
        </xdr:spPr>
      </xdr:pic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968520CE-7C95-6A17-8E7A-3D2B29AC871F}"/>
              </a:ext>
            </a:extLst>
          </xdr:cNvPr>
          <xdr:cNvSpPr/>
        </xdr:nvSpPr>
        <xdr:spPr>
          <a:xfrm>
            <a:off x="2600325" y="1381125"/>
            <a:ext cx="5048250" cy="466725"/>
          </a:xfrm>
          <a:prstGeom prst="roundRect">
            <a:avLst/>
          </a:prstGeom>
          <a:solidFill>
            <a:srgbClr val="00B050"/>
          </a:solidFill>
          <a:ln>
            <a:solidFill>
              <a:srgbClr val="042433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/>
              <a:t>TOTAL</a:t>
            </a:r>
            <a:r>
              <a:rPr lang="pt-BR" sz="1400" b="0" baseline="0"/>
              <a:t> SUBSCRIPTION EA  PLAY SEASON PASS</a:t>
            </a:r>
            <a:endParaRPr lang="pt-BR" sz="1400" b="0"/>
          </a:p>
        </xdr:txBody>
      </xdr:sp>
    </xdr:grpSp>
    <xdr:clientData/>
  </xdr:twoCellAnchor>
  <xdr:twoCellAnchor editAs="absolute">
    <xdr:from>
      <xdr:col>5</xdr:col>
      <xdr:colOff>180975</xdr:colOff>
      <xdr:row>6</xdr:row>
      <xdr:rowOff>104776</xdr:rowOff>
    </xdr:from>
    <xdr:to>
      <xdr:col>13</xdr:col>
      <xdr:colOff>533401</xdr:colOff>
      <xdr:row>13</xdr:row>
      <xdr:rowOff>1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2FFCFE85-01F0-C1C8-4D6A-BF5610A84FAE}"/>
            </a:ext>
          </a:extLst>
        </xdr:cNvPr>
        <xdr:cNvGrpSpPr/>
      </xdr:nvGrpSpPr>
      <xdr:grpSpPr>
        <a:xfrm>
          <a:off x="7829550" y="1704976"/>
          <a:ext cx="5057776" cy="1333500"/>
          <a:chOff x="7972425" y="1371600"/>
          <a:chExt cx="5057776" cy="1628775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7634CABF-EEA9-6CDC-A49F-41F1D9F8CDBA}"/>
              </a:ext>
            </a:extLst>
          </xdr:cNvPr>
          <xdr:cNvSpPr/>
        </xdr:nvSpPr>
        <xdr:spPr>
          <a:xfrm>
            <a:off x="7972425" y="1371600"/>
            <a:ext cx="5048250" cy="1628775"/>
          </a:xfrm>
          <a:prstGeom prst="roundRect">
            <a:avLst>
              <a:gd name="adj" fmla="val 5556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0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4C63B7EF-F91C-A94A-A534-5AD7B7BC7F38}"/>
              </a:ext>
            </a:extLst>
          </xdr:cNvPr>
          <xdr:cNvSpPr/>
        </xdr:nvSpPr>
        <xdr:spPr>
          <a:xfrm>
            <a:off x="9201150" y="1952624"/>
            <a:ext cx="3829051" cy="800100"/>
          </a:xfrm>
          <a:prstGeom prst="roundRect">
            <a:avLst/>
          </a:prstGeom>
          <a:solidFill>
            <a:srgbClr val="FFFFFF">
              <a:alpha val="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D3E85B-6816-4981-BE5E-911704598BB8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en-US" sz="3600" b="0">
              <a:solidFill>
                <a:srgbClr val="22C55E"/>
              </a:solidFill>
            </a:endParaRPr>
          </a:p>
        </xdr:txBody>
      </xdr: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7F636624-2B8D-97DC-A52A-512EA647350C}"/>
              </a:ext>
            </a:extLst>
          </xdr:cNvPr>
          <xdr:cNvSpPr/>
        </xdr:nvSpPr>
        <xdr:spPr>
          <a:xfrm>
            <a:off x="7972425" y="1371600"/>
            <a:ext cx="5048250" cy="466725"/>
          </a:xfrm>
          <a:prstGeom prst="roundRect">
            <a:avLst/>
          </a:prstGeom>
          <a:solidFill>
            <a:srgbClr val="00B050"/>
          </a:solidFill>
          <a:ln>
            <a:solidFill>
              <a:srgbClr val="042433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/>
              <a:t>TOTAL</a:t>
            </a:r>
            <a:r>
              <a:rPr lang="pt-BR" sz="1400" b="0" baseline="0"/>
              <a:t> SUBSCRIPTION MINECRAFT PLAY SEASON PASS</a:t>
            </a:r>
            <a:endParaRPr lang="pt-BR" sz="1400" b="0"/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885C1286-D454-4387-8D5B-0BE352126E49}"/>
              </a:ext>
            </a:extLst>
          </xdr:cNvPr>
          <xdr:cNvGrpSpPr/>
        </xdr:nvGrpSpPr>
        <xdr:grpSpPr>
          <a:xfrm>
            <a:off x="8258175" y="1976436"/>
            <a:ext cx="1549476" cy="752476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763E8D22-80A3-5700-68C8-64804E2E24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1ADEFD9F-14C8-7A9A-AD30-049B7F752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13</xdr:row>
      <xdr:rowOff>123825</xdr:rowOff>
    </xdr:from>
    <xdr:to>
      <xdr:col>14</xdr:col>
      <xdr:colOff>0</xdr:colOff>
      <xdr:row>32</xdr:row>
      <xdr:rowOff>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03A082A6-EE37-337F-47B8-718ABA8ECD08}"/>
            </a:ext>
          </a:extLst>
        </xdr:cNvPr>
        <xdr:cNvGrpSpPr/>
      </xdr:nvGrpSpPr>
      <xdr:grpSpPr>
        <a:xfrm>
          <a:off x="2600325" y="3162300"/>
          <a:ext cx="10363200" cy="3495675"/>
          <a:chOff x="2600325" y="3200400"/>
          <a:chExt cx="5048250" cy="590550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4965B37-512A-7E3E-619B-5BD8022FB7E6}"/>
              </a:ext>
            </a:extLst>
          </xdr:cNvPr>
          <xdr:cNvGrpSpPr/>
        </xdr:nvGrpSpPr>
        <xdr:grpSpPr>
          <a:xfrm>
            <a:off x="2600325" y="3200400"/>
            <a:ext cx="5048250" cy="5905500"/>
            <a:chOff x="2600325" y="4557712"/>
            <a:chExt cx="8108157" cy="506015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88A774A1-363D-F3CD-CD56-CCA6F655324E}"/>
                </a:ext>
              </a:extLst>
            </xdr:cNvPr>
            <xdr:cNvSpPr/>
          </xdr:nvSpPr>
          <xdr:spPr>
            <a:xfrm>
              <a:off x="2600325" y="4557712"/>
              <a:ext cx="8108157" cy="5060156"/>
            </a:xfrm>
            <a:prstGeom prst="roundRect">
              <a:avLst>
                <a:gd name="adj" fmla="val 5843"/>
              </a:avLst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A139C57B-5B6E-7A66-3E85-9B2851DEAAE5}"/>
                </a:ext>
              </a:extLst>
            </xdr:cNvPr>
            <xdr:cNvGraphicFramePr>
              <a:graphicFrameLocks/>
            </xdr:cNvGraphicFramePr>
          </xdr:nvGraphicFramePr>
          <xdr:xfrm>
            <a:off x="2715090" y="5134206"/>
            <a:ext cx="7881607" cy="43204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DA5641EF-FCA5-4CE1-AEAA-66724D4D382D}"/>
              </a:ext>
            </a:extLst>
          </xdr:cNvPr>
          <xdr:cNvSpPr/>
        </xdr:nvSpPr>
        <xdr:spPr>
          <a:xfrm>
            <a:off x="2600325" y="3200400"/>
            <a:ext cx="5048250" cy="571500"/>
          </a:xfrm>
          <a:prstGeom prst="roundRect">
            <a:avLst/>
          </a:prstGeom>
          <a:solidFill>
            <a:srgbClr val="00B050"/>
          </a:solidFill>
          <a:ln>
            <a:solidFill>
              <a:srgbClr val="042433">
                <a:alpha val="0"/>
              </a:srgb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/>
              <a:t>TOTAL</a:t>
            </a:r>
            <a:r>
              <a:rPr lang="pt-BR" sz="1400" b="0" baseline="0"/>
              <a:t> SUBSCRIPTION XBOX GAMEPASS</a:t>
            </a:r>
            <a:endParaRPr lang="pt-BR" sz="1400" b="0"/>
          </a:p>
        </xdr:txBody>
      </xdr:sp>
    </xdr:grpSp>
    <xdr:clientData/>
  </xdr:twoCellAnchor>
  <xdr:twoCellAnchor editAs="absolute">
    <xdr:from>
      <xdr:col>0</xdr:col>
      <xdr:colOff>762000</xdr:colOff>
      <xdr:row>1</xdr:row>
      <xdr:rowOff>19050</xdr:rowOff>
    </xdr:from>
    <xdr:to>
      <xdr:col>0</xdr:col>
      <xdr:colOff>1457325</xdr:colOff>
      <xdr:row>2</xdr:row>
      <xdr:rowOff>219075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7D83FD1D-A538-4E9B-A560-9490BB4FC3BD}"/>
            </a:ext>
          </a:extLst>
        </xdr:cNvPr>
        <xdr:cNvSpPr/>
      </xdr:nvSpPr>
      <xdr:spPr>
        <a:xfrm>
          <a:off x="762000" y="2095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190500</xdr:rowOff>
    </xdr:from>
    <xdr:to>
      <xdr:col>1</xdr:col>
      <xdr:colOff>0</xdr:colOff>
      <xdr:row>6</xdr:row>
      <xdr:rowOff>76200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D4B4BB66-CB16-BBAF-B198-880CC58118AE}"/>
            </a:ext>
          </a:extLst>
        </xdr:cNvPr>
        <xdr:cNvSpPr/>
      </xdr:nvSpPr>
      <xdr:spPr>
        <a:xfrm>
          <a:off x="0" y="1371600"/>
          <a:ext cx="2362200" cy="304800"/>
        </a:xfrm>
        <a:prstGeom prst="roundRect">
          <a:avLst/>
        </a:prstGeom>
        <a:solidFill>
          <a:srgbClr val="156082">
            <a:alpha val="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&gt; Bem</a:t>
          </a:r>
          <a:r>
            <a:rPr lang="pt-BR" sz="1400" b="1" baseline="0"/>
            <a:t> vinda, Rafaela</a:t>
          </a:r>
          <a:endParaRPr lang="pt-BR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a Pinheiro" refreshedDate="46043.920470833335" createdVersion="8" refreshedVersion="8" minRefreshableVersion="3" recordCount="295" xr:uid="{3F6F1990-3508-48C1-9862-5CE54978931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335509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5B2BD-2B4F-4E9B-A94B-E219B4556448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6:C3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3D31F-E5C3-4C0A-BAF0-3F5D1D5F7071}" name="tbl_EaSeasonPlay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6:C2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7F32B-055C-4E61-98A5-FC99473C93FA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7:C1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73C22A6-99DB-4DD6-A5BF-CA6983D6795D}" sourceName="Subscription Type">
  <pivotTables>
    <pivotTable tabId="3" name="tbl_annual_total"/>
    <pivotTable tabId="3" name="tbl_EaSeasonPlay_total"/>
    <pivotTable tabId="3" name="Tabela dinâmica3"/>
  </pivotTables>
  <data>
    <tabular pivotCacheId="93355090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33E6BC2-9AC0-4D65-A045-FDEC7917F0E5}" cache="SegmentaçãodeDados_Subscription_Type" caption="Subscription Type" style="SlicerStyleLight6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3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0"/>
  <sheetViews>
    <sheetView showGridLines="0" topLeftCell="A10" workbookViewId="0">
      <selection activeCell="E30" sqref="E3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57031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x14ac:dyDescent="0.25">
      <c r="B2" t="s">
        <v>313</v>
      </c>
    </row>
    <row r="3" spans="2:3" x14ac:dyDescent="0.25">
      <c r="B3" t="s">
        <v>317</v>
      </c>
    </row>
    <row r="5" spans="2:3" x14ac:dyDescent="0.25">
      <c r="B5" s="13" t="s">
        <v>16</v>
      </c>
      <c r="C5" t="s">
        <v>24</v>
      </c>
    </row>
    <row r="7" spans="2:3" x14ac:dyDescent="0.25">
      <c r="B7" s="13" t="s">
        <v>315</v>
      </c>
      <c r="C7" t="s">
        <v>314</v>
      </c>
    </row>
    <row r="8" spans="2:3" x14ac:dyDescent="0.25">
      <c r="B8" s="14" t="s">
        <v>23</v>
      </c>
      <c r="C8" s="12">
        <v>217</v>
      </c>
    </row>
    <row r="9" spans="2:3" x14ac:dyDescent="0.25">
      <c r="B9" s="14" t="s">
        <v>19</v>
      </c>
      <c r="C9" s="12">
        <v>1537</v>
      </c>
    </row>
    <row r="10" spans="2:3" x14ac:dyDescent="0.25">
      <c r="B10" s="14" t="s">
        <v>316</v>
      </c>
      <c r="C10" s="12">
        <v>1754</v>
      </c>
    </row>
    <row r="12" spans="2:3" x14ac:dyDescent="0.25">
      <c r="B12" s="14" t="s">
        <v>320</v>
      </c>
    </row>
    <row r="14" spans="2:3" x14ac:dyDescent="0.25">
      <c r="B14" s="13" t="s">
        <v>16</v>
      </c>
      <c r="C14" t="s">
        <v>24</v>
      </c>
    </row>
    <row r="16" spans="2:3" x14ac:dyDescent="0.25">
      <c r="B16" s="13" t="s">
        <v>315</v>
      </c>
      <c r="C16" t="s">
        <v>321</v>
      </c>
    </row>
    <row r="17" spans="2:5" x14ac:dyDescent="0.25">
      <c r="B17" s="14" t="s">
        <v>22</v>
      </c>
      <c r="C17" s="15">
        <v>0</v>
      </c>
    </row>
    <row r="18" spans="2:5" x14ac:dyDescent="0.25">
      <c r="B18" s="14" t="s">
        <v>26</v>
      </c>
      <c r="C18" s="15">
        <v>0</v>
      </c>
    </row>
    <row r="19" spans="2:5" x14ac:dyDescent="0.25">
      <c r="B19" s="14" t="s">
        <v>18</v>
      </c>
      <c r="C19" s="15">
        <v>600</v>
      </c>
    </row>
    <row r="20" spans="2:5" x14ac:dyDescent="0.25">
      <c r="B20" s="14" t="s">
        <v>316</v>
      </c>
      <c r="C20" s="15">
        <v>600</v>
      </c>
      <c r="E20" s="16">
        <f>GETPIVOTDATA("EA Play Season Pass
Price",$B$16,"Plan","Ultimate")</f>
        <v>600</v>
      </c>
    </row>
    <row r="22" spans="2:5" x14ac:dyDescent="0.25">
      <c r="B22" s="14" t="s">
        <v>322</v>
      </c>
    </row>
    <row r="24" spans="2:5" x14ac:dyDescent="0.25">
      <c r="B24" s="13" t="s">
        <v>16</v>
      </c>
      <c r="C24" t="s">
        <v>24</v>
      </c>
    </row>
    <row r="26" spans="2:5" x14ac:dyDescent="0.25">
      <c r="B26" s="13" t="s">
        <v>315</v>
      </c>
      <c r="C26" t="s">
        <v>323</v>
      </c>
    </row>
    <row r="27" spans="2:5" x14ac:dyDescent="0.25">
      <c r="B27" s="14" t="s">
        <v>22</v>
      </c>
      <c r="C27" s="12">
        <v>0</v>
      </c>
    </row>
    <row r="28" spans="2:5" x14ac:dyDescent="0.25">
      <c r="B28" s="14" t="s">
        <v>26</v>
      </c>
      <c r="C28" s="12">
        <v>540</v>
      </c>
    </row>
    <row r="29" spans="2:5" x14ac:dyDescent="0.25">
      <c r="B29" s="14" t="s">
        <v>18</v>
      </c>
      <c r="C29" s="12">
        <v>400</v>
      </c>
    </row>
    <row r="30" spans="2:5" x14ac:dyDescent="0.25">
      <c r="B30" s="14" t="s">
        <v>316</v>
      </c>
      <c r="C30" s="12">
        <v>940</v>
      </c>
      <c r="E30" s="16">
        <f>GETPIVOTDATA("Minecraft Season Pass Price",$B$26)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C195"/>
  <sheetViews>
    <sheetView showGridLines="0" tabSelected="1" zoomScaleNormal="100" workbookViewId="0">
      <selection activeCell="P10" sqref="P10"/>
    </sheetView>
  </sheetViews>
  <sheetFormatPr defaultRowHeight="15" x14ac:dyDescent="0.25"/>
  <cols>
    <col min="1" max="1" width="35.42578125" style="4" customWidth="1"/>
    <col min="2" max="2" width="3.5703125" customWidth="1"/>
    <col min="3" max="3" width="57.42578125" bestFit="1" customWidth="1"/>
    <col min="12" max="12" width="6.5703125" customWidth="1"/>
  </cols>
  <sheetData>
    <row r="1" spans="1:29" x14ac:dyDescent="0.25">
      <c r="A1" s="4" t="s">
        <v>318</v>
      </c>
    </row>
    <row r="2" spans="1:29" ht="39" customHeight="1" thickBot="1" x14ac:dyDescent="0.5">
      <c r="C2" s="18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9" ht="39" customHeight="1" thickTop="1" x14ac:dyDescent="0.25"/>
    <row r="4" spans="1:29" s="7" customFormat="1" ht="18" customHeight="1" x14ac:dyDescent="0.25">
      <c r="A4" s="4"/>
      <c r="C4" s="19" t="s">
        <v>324</v>
      </c>
    </row>
    <row r="5" spans="1:29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7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10.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ht="9.75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ht="33" customHeight="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2:2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2:2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2:2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2:2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2:2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2:2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2:2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2:2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2:2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2:2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2:2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2:2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2:2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2:2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2:2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2:2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2:2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2:2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2:2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2:2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2:2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2:2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2:2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2:2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2:2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2:2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2:2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2:2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2:2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2:2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2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2:2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2:2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2:2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2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2:2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2:2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2:2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2:2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2:2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2:2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2:2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2:2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2:2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2:2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2:2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2:2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2:2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2:2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2:2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2:2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2:2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2:2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2:2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2:2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2:2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2:2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2:2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2:2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2:2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2:2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2:2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2:2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2:2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2:2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2:2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2:2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2:2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2:2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2:2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2:29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2:29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2:29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2:29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2:29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2:29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2:29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2:29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2:29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2:29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2:29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2:29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2:29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2:29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2:29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2:2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2:2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2:2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2:2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2:29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2:29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2:29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2:29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2:29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2:29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2:29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2:29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2:29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2:29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2:29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2:29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2:29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2:29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2:29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2:29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2:29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2:29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2:29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2:29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2:29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2:29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2:29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2:29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2:29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2:29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2:29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2:29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2:29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2:29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2:29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2:29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2:29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2:29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2:29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2:29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2:29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2:29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2:29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2:29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2:29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2:29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2:29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2:29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2:29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2:29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2:29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2:29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2:29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2:29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2:29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2:29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2:29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2:29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2:29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2:29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2:29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2:29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2:29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2:29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2:29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2:29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2:29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2:29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2:29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2:29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2:29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2:29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2:29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2:29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2:29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2:29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2:29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2:29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2:29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2:29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2:29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2:29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2:29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2:29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2:29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2:29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2:29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2:29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2:29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2:29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2:29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2:29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2:29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2:29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 DA SILVA PINHEIRO</cp:lastModifiedBy>
  <dcterms:created xsi:type="dcterms:W3CDTF">2024-12-19T13:13:10Z</dcterms:created>
  <dcterms:modified xsi:type="dcterms:W3CDTF">2026-01-22T02:56:59Z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